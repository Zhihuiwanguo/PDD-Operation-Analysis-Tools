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>
    <definedName hidden="1" localSheetId="0" name="_xlnm._FilterDatabase">'工作表1'!$A$1:$F$71</definedName>
  </definedNames>
  <calcPr/>
</workbook>
</file>

<file path=xl/sharedStrings.xml><?xml version="1.0" encoding="utf-8"?>
<sst xmlns="http://schemas.openxmlformats.org/spreadsheetml/2006/main" count="216" uniqueCount="130">
  <si>
    <t>销售规格ID</t>
  </si>
  <si>
    <t>标准产品ID</t>
  </si>
  <si>
    <t>销售数量</t>
  </si>
  <si>
    <t>销售规格名称</t>
  </si>
  <si>
    <t>产品总成本</t>
  </si>
  <si>
    <t>快递费</t>
  </si>
  <si>
    <t>P001-1</t>
  </si>
  <si>
    <t>P001</t>
  </si>
  <si>
    <t>1盒装</t>
  </si>
  <si>
    <t>P001-3</t>
  </si>
  <si>
    <t>3盒装</t>
  </si>
  <si>
    <t>P001-5</t>
  </si>
  <si>
    <t>5盒装</t>
  </si>
  <si>
    <t>P002-1</t>
  </si>
  <si>
    <t>P002</t>
  </si>
  <si>
    <t>1瓶装</t>
  </si>
  <si>
    <t>P002-2</t>
  </si>
  <si>
    <t>2瓶装</t>
  </si>
  <si>
    <t>P002-3</t>
  </si>
  <si>
    <t>3瓶装</t>
  </si>
  <si>
    <t>P003-1</t>
  </si>
  <si>
    <t>P003</t>
  </si>
  <si>
    <t>P003-2</t>
  </si>
  <si>
    <t>P003-6</t>
  </si>
  <si>
    <t>6瓶装</t>
  </si>
  <si>
    <t>P004-1</t>
  </si>
  <si>
    <t>P004</t>
  </si>
  <si>
    <t>P004-2</t>
  </si>
  <si>
    <t>P004-3</t>
  </si>
  <si>
    <t>P005-1</t>
  </si>
  <si>
    <t>P005</t>
  </si>
  <si>
    <t>P005-2</t>
  </si>
  <si>
    <t>P005-3</t>
  </si>
  <si>
    <t>P006-1</t>
  </si>
  <si>
    <t>P006</t>
  </si>
  <si>
    <t>P006-2</t>
  </si>
  <si>
    <t>P006-3</t>
  </si>
  <si>
    <t>P007-1</t>
  </si>
  <si>
    <t>P007</t>
  </si>
  <si>
    <t>P007-2</t>
  </si>
  <si>
    <t>P007-3</t>
  </si>
  <si>
    <t>P008-1</t>
  </si>
  <si>
    <t>P008</t>
  </si>
  <si>
    <t>P008-2</t>
  </si>
  <si>
    <t>P009-1</t>
  </si>
  <si>
    <t>P009</t>
  </si>
  <si>
    <t>1罐装</t>
  </si>
  <si>
    <t>P009-2</t>
  </si>
  <si>
    <t>2罐装</t>
  </si>
  <si>
    <t>P009-3</t>
  </si>
  <si>
    <t>3罐装</t>
  </si>
  <si>
    <t>P009-4</t>
  </si>
  <si>
    <t>4罐装</t>
  </si>
  <si>
    <t>P009-5</t>
  </si>
  <si>
    <t>5罐装</t>
  </si>
  <si>
    <t>P009-6</t>
  </si>
  <si>
    <t>6罐装</t>
  </si>
  <si>
    <t>P009-9</t>
  </si>
  <si>
    <t>P010-1</t>
  </si>
  <si>
    <t>P010</t>
  </si>
  <si>
    <t>P010-3</t>
  </si>
  <si>
    <t>P010-5</t>
  </si>
  <si>
    <t>P011-1</t>
  </si>
  <si>
    <t>P011</t>
  </si>
  <si>
    <t>P011-2</t>
  </si>
  <si>
    <t>P011-3</t>
  </si>
  <si>
    <t>P011-4</t>
  </si>
  <si>
    <t>P011-5</t>
  </si>
  <si>
    <t>P012-1</t>
  </si>
  <si>
    <t>P012</t>
  </si>
  <si>
    <t>1袋装</t>
  </si>
  <si>
    <t>P012-3</t>
  </si>
  <si>
    <t>3袋装</t>
  </si>
  <si>
    <t>P012-5</t>
  </si>
  <si>
    <t>5袋装</t>
  </si>
  <si>
    <t>P012-6</t>
  </si>
  <si>
    <t>6袋装</t>
  </si>
  <si>
    <t>P012-10</t>
  </si>
  <si>
    <t>10袋装</t>
  </si>
  <si>
    <t>P012-17</t>
  </si>
  <si>
    <t>17袋装</t>
  </si>
  <si>
    <t>P012-11</t>
  </si>
  <si>
    <t>11袋装</t>
  </si>
  <si>
    <t>P013-1</t>
  </si>
  <si>
    <t>P013</t>
  </si>
  <si>
    <t>1桶装</t>
  </si>
  <si>
    <t>P013-2</t>
  </si>
  <si>
    <t>2桶装</t>
  </si>
  <si>
    <t>P013-3</t>
  </si>
  <si>
    <t>3桶装</t>
  </si>
  <si>
    <t>P013-4</t>
  </si>
  <si>
    <t>4桶装</t>
  </si>
  <si>
    <t>P014-1</t>
  </si>
  <si>
    <t>P014</t>
  </si>
  <si>
    <t>1礼盒装</t>
  </si>
  <si>
    <t>P014-2</t>
  </si>
  <si>
    <t>2礼盒装</t>
  </si>
  <si>
    <t>P014-3</t>
  </si>
  <si>
    <t>3礼盒装</t>
  </si>
  <si>
    <t>P015-1</t>
  </si>
  <si>
    <t>P015</t>
  </si>
  <si>
    <t>P015-3</t>
  </si>
  <si>
    <t>P016-2</t>
  </si>
  <si>
    <t>P016</t>
  </si>
  <si>
    <t>2盒装</t>
  </si>
  <si>
    <t>P016-3</t>
  </si>
  <si>
    <t>P016-8</t>
  </si>
  <si>
    <t>8盒装</t>
  </si>
  <si>
    <t>P016-1</t>
  </si>
  <si>
    <t>P017-1</t>
  </si>
  <si>
    <t>P017</t>
  </si>
  <si>
    <t>P017-2</t>
  </si>
  <si>
    <t>P017-3</t>
  </si>
  <si>
    <t>P017-5</t>
  </si>
  <si>
    <t>P018-1</t>
  </si>
  <si>
    <t>P018</t>
  </si>
  <si>
    <t>P018-3</t>
  </si>
  <si>
    <t>P019-1</t>
  </si>
  <si>
    <t>P019</t>
  </si>
  <si>
    <t>P019-2</t>
  </si>
  <si>
    <t>P019-3</t>
  </si>
  <si>
    <t>P020-1</t>
  </si>
  <si>
    <t>P020</t>
  </si>
  <si>
    <t>1盒装赠品</t>
  </si>
  <si>
    <t>P021-1</t>
  </si>
  <si>
    <t>P021</t>
  </si>
  <si>
    <t>摇摇杯</t>
  </si>
  <si>
    <t>P022-1</t>
  </si>
  <si>
    <t>P022</t>
  </si>
  <si>
    <t>手提行李箱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</si>
</sst>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2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3" t="s">
        <v>6</v>
      </c>
      <c r="B2" s="3" t="s">
        <v>7</v>
      </c>
      <c r="C2" s="4">
        <v>1.0</v>
      </c>
      <c r="D2" s="5" t="s">
        <v>8</v>
      </c>
      <c r="E2" s="6">
        <v>3.9</v>
      </c>
      <c r="F2" s="7">
        <v>3.5</v>
      </c>
    </row>
    <row r="3">
      <c r="A3" s="3" t="s">
        <v>9</v>
      </c>
      <c r="B3" s="3" t="s">
        <v>7</v>
      </c>
      <c r="C3" s="4">
        <v>3.0</v>
      </c>
      <c r="D3" s="5" t="s">
        <v>10</v>
      </c>
      <c r="E3" s="6">
        <v>11.7</v>
      </c>
      <c r="F3" s="7">
        <v>3.5</v>
      </c>
    </row>
    <row r="4">
      <c r="A4" s="3" t="s">
        <v>11</v>
      </c>
      <c r="B4" s="3" t="s">
        <v>7</v>
      </c>
      <c r="C4" s="4">
        <v>5.0</v>
      </c>
      <c r="D4" s="5" t="s">
        <v>12</v>
      </c>
      <c r="E4" s="6">
        <v>19.5</v>
      </c>
      <c r="F4" s="7">
        <v>3.5</v>
      </c>
    </row>
    <row r="5">
      <c r="A5" s="3" t="s">
        <v>13</v>
      </c>
      <c r="B5" s="3" t="s">
        <v>14</v>
      </c>
      <c r="C5" s="4">
        <v>1.0</v>
      </c>
      <c r="D5" s="5" t="s">
        <v>15</v>
      </c>
      <c r="E5" s="6">
        <v>7.0</v>
      </c>
      <c r="F5" s="7">
        <v>5.0</v>
      </c>
    </row>
    <row r="6">
      <c r="A6" s="3" t="s">
        <v>16</v>
      </c>
      <c r="B6" s="3" t="s">
        <v>14</v>
      </c>
      <c r="C6" s="8">
        <v>2.0</v>
      </c>
      <c r="D6" s="5" t="s">
        <v>17</v>
      </c>
      <c r="E6" s="3">
        <v>14.0</v>
      </c>
      <c r="F6" s="7">
        <v>5.0</v>
      </c>
    </row>
    <row r="7">
      <c r="A7" s="3" t="s">
        <v>18</v>
      </c>
      <c r="B7" s="3" t="s">
        <v>14</v>
      </c>
      <c r="C7" s="8">
        <v>3.0</v>
      </c>
      <c r="D7" s="5" t="s">
        <v>19</v>
      </c>
      <c r="E7" s="3">
        <v>21.0</v>
      </c>
      <c r="F7" s="7">
        <v>5.0</v>
      </c>
    </row>
    <row r="8">
      <c r="A8" s="3" t="s">
        <v>20</v>
      </c>
      <c r="B8" s="3" t="s">
        <v>21</v>
      </c>
      <c r="C8" s="5">
        <v>1.0</v>
      </c>
      <c r="D8" s="5" t="s">
        <v>15</v>
      </c>
      <c r="E8" s="3">
        <f>13.1</f>
        <v>13.1</v>
      </c>
      <c r="F8" s="7">
        <v>5.0</v>
      </c>
    </row>
    <row r="9">
      <c r="A9" s="3" t="s">
        <v>22</v>
      </c>
      <c r="B9" s="3" t="s">
        <v>21</v>
      </c>
      <c r="C9" s="8">
        <v>2.0</v>
      </c>
      <c r="D9" s="5" t="s">
        <v>17</v>
      </c>
      <c r="E9" s="3">
        <v>26.2</v>
      </c>
      <c r="F9" s="7">
        <v>5.0</v>
      </c>
    </row>
    <row r="10">
      <c r="A10" s="3" t="s">
        <v>23</v>
      </c>
      <c r="B10" s="3" t="s">
        <v>21</v>
      </c>
      <c r="C10" s="8">
        <v>6.0</v>
      </c>
      <c r="D10" s="5" t="s">
        <v>24</v>
      </c>
      <c r="E10" s="3">
        <v>78.6</v>
      </c>
      <c r="F10" s="7">
        <v>5.0</v>
      </c>
    </row>
    <row r="11">
      <c r="A11" s="3" t="s">
        <v>25</v>
      </c>
      <c r="B11" s="3" t="s">
        <v>26</v>
      </c>
      <c r="C11" s="8">
        <v>1.0</v>
      </c>
      <c r="D11" s="5" t="s">
        <v>15</v>
      </c>
      <c r="E11" s="3">
        <v>4.8</v>
      </c>
      <c r="F11" s="7">
        <v>5.0</v>
      </c>
    </row>
    <row r="12">
      <c r="A12" s="3" t="s">
        <v>27</v>
      </c>
      <c r="B12" s="3" t="s">
        <v>26</v>
      </c>
      <c r="C12" s="8">
        <v>2.0</v>
      </c>
      <c r="D12" s="5" t="s">
        <v>17</v>
      </c>
      <c r="E12" s="3">
        <v>9.6</v>
      </c>
      <c r="F12" s="7">
        <v>5.0</v>
      </c>
    </row>
    <row r="13">
      <c r="A13" s="3" t="s">
        <v>28</v>
      </c>
      <c r="B13" s="3" t="s">
        <v>26</v>
      </c>
      <c r="C13" s="8">
        <v>3.0</v>
      </c>
      <c r="D13" s="5" t="s">
        <v>19</v>
      </c>
      <c r="E13" s="3">
        <v>14.4</v>
      </c>
      <c r="F13" s="7">
        <v>5.0</v>
      </c>
    </row>
    <row r="14">
      <c r="A14" s="3" t="s">
        <v>29</v>
      </c>
      <c r="B14" s="3" t="s">
        <v>30</v>
      </c>
      <c r="C14" s="8">
        <v>1.0</v>
      </c>
      <c r="D14" s="5" t="s">
        <v>15</v>
      </c>
      <c r="E14" s="3">
        <v>10.5</v>
      </c>
      <c r="F14" s="7">
        <v>5.0</v>
      </c>
    </row>
    <row r="15">
      <c r="A15" s="3" t="s">
        <v>31</v>
      </c>
      <c r="B15" s="3" t="s">
        <v>30</v>
      </c>
      <c r="C15" s="5">
        <v>2.0</v>
      </c>
      <c r="D15" s="5" t="s">
        <v>17</v>
      </c>
      <c r="E15" s="3">
        <f>E14*2</f>
        <v>21</v>
      </c>
      <c r="F15" s="7">
        <v>5.0</v>
      </c>
    </row>
    <row r="16">
      <c r="A16" s="3" t="s">
        <v>32</v>
      </c>
      <c r="B16" s="3" t="s">
        <v>30</v>
      </c>
      <c r="C16" s="8">
        <v>3.0</v>
      </c>
      <c r="D16" s="5" t="s">
        <v>19</v>
      </c>
      <c r="E16" s="3">
        <v>31.5</v>
      </c>
      <c r="F16" s="7">
        <v>5.0</v>
      </c>
    </row>
    <row r="17">
      <c r="A17" s="3" t="s">
        <v>33</v>
      </c>
      <c r="B17" s="3" t="s">
        <v>34</v>
      </c>
      <c r="C17" s="8">
        <v>1.0</v>
      </c>
      <c r="D17" s="5" t="s">
        <v>15</v>
      </c>
      <c r="E17" s="3">
        <v>10.1</v>
      </c>
      <c r="F17" s="7">
        <v>5.0</v>
      </c>
    </row>
    <row r="18">
      <c r="A18" s="3" t="s">
        <v>35</v>
      </c>
      <c r="B18" s="3" t="s">
        <v>34</v>
      </c>
      <c r="C18" s="8">
        <v>2.0</v>
      </c>
      <c r="D18" s="5" t="s">
        <v>17</v>
      </c>
      <c r="E18" s="3">
        <v>20.2</v>
      </c>
      <c r="F18" s="7">
        <v>5.0</v>
      </c>
    </row>
    <row r="19">
      <c r="A19" s="3" t="s">
        <v>36</v>
      </c>
      <c r="B19" s="3" t="s">
        <v>34</v>
      </c>
      <c r="C19" s="5">
        <v>3.0</v>
      </c>
      <c r="D19" s="5" t="s">
        <v>19</v>
      </c>
      <c r="E19" s="3">
        <f>10.1*3</f>
        <v>30.3</v>
      </c>
      <c r="F19" s="7">
        <v>5.0</v>
      </c>
    </row>
    <row r="20">
      <c r="A20" s="3" t="s">
        <v>37</v>
      </c>
      <c r="B20" s="3" t="s">
        <v>38</v>
      </c>
      <c r="C20" s="8">
        <v>1.0</v>
      </c>
      <c r="D20" s="5" t="s">
        <v>15</v>
      </c>
      <c r="E20" s="3">
        <v>17.6</v>
      </c>
      <c r="F20" s="7">
        <v>5.0</v>
      </c>
    </row>
    <row r="21">
      <c r="A21" s="3" t="s">
        <v>39</v>
      </c>
      <c r="B21" s="3" t="s">
        <v>38</v>
      </c>
      <c r="C21" s="5">
        <v>2.0</v>
      </c>
      <c r="D21" s="5" t="s">
        <v>17</v>
      </c>
      <c r="E21" s="3">
        <f>17.6*2</f>
        <v>35.2</v>
      </c>
      <c r="F21" s="7">
        <v>5.0</v>
      </c>
    </row>
    <row r="22">
      <c r="A22" s="3" t="s">
        <v>40</v>
      </c>
      <c r="B22" s="3" t="s">
        <v>38</v>
      </c>
      <c r="C22" s="5">
        <v>3.0</v>
      </c>
      <c r="D22" s="5" t="s">
        <v>19</v>
      </c>
      <c r="E22" s="3">
        <f>17.6*3</f>
        <v>52.8</v>
      </c>
      <c r="F22" s="7">
        <v>5.0</v>
      </c>
    </row>
    <row r="23">
      <c r="A23" s="3" t="s">
        <v>41</v>
      </c>
      <c r="B23" s="3" t="s">
        <v>42</v>
      </c>
      <c r="C23" s="8">
        <v>1.0</v>
      </c>
      <c r="D23" s="5" t="s">
        <v>15</v>
      </c>
      <c r="E23" s="3">
        <v>9.0</v>
      </c>
      <c r="F23" s="7">
        <v>5.0</v>
      </c>
    </row>
    <row r="24">
      <c r="A24" s="3" t="s">
        <v>43</v>
      </c>
      <c r="B24" s="3" t="s">
        <v>42</v>
      </c>
      <c r="C24" s="5">
        <v>2.0</v>
      </c>
      <c r="D24" s="5" t="s">
        <v>17</v>
      </c>
      <c r="E24" s="3">
        <f>9*2</f>
        <v>18</v>
      </c>
      <c r="F24" s="7">
        <v>5.0</v>
      </c>
    </row>
    <row r="25">
      <c r="A25" s="3" t="s">
        <v>44</v>
      </c>
      <c r="B25" s="3" t="s">
        <v>45</v>
      </c>
      <c r="C25" s="8">
        <v>1.0</v>
      </c>
      <c r="D25" s="5" t="s">
        <v>46</v>
      </c>
      <c r="E25" s="3">
        <v>20.0</v>
      </c>
      <c r="F25" s="7">
        <v>5.0</v>
      </c>
    </row>
    <row r="26">
      <c r="A26" s="3" t="s">
        <v>47</v>
      </c>
      <c r="B26" s="3" t="s">
        <v>45</v>
      </c>
      <c r="C26" s="5">
        <v>2.0</v>
      </c>
      <c r="D26" s="5" t="s">
        <v>48</v>
      </c>
      <c r="E26" s="3">
        <f>20*C26</f>
        <v>40</v>
      </c>
      <c r="F26" s="7">
        <v>5.0</v>
      </c>
    </row>
    <row r="27">
      <c r="A27" s="3" t="s">
        <v>49</v>
      </c>
      <c r="B27" s="3" t="s">
        <v>45</v>
      </c>
      <c r="C27" s="8">
        <v>3.0</v>
      </c>
      <c r="D27" s="5" t="s">
        <v>50</v>
      </c>
      <c r="E27" s="3">
        <v>60.0</v>
      </c>
      <c r="F27" s="7">
        <v>5.0</v>
      </c>
    </row>
    <row r="28">
      <c r="A28" s="3" t="s">
        <v>51</v>
      </c>
      <c r="B28" s="3" t="s">
        <v>45</v>
      </c>
      <c r="C28" s="5">
        <v>4.0</v>
      </c>
      <c r="D28" s="5" t="s">
        <v>52</v>
      </c>
      <c r="E28" s="3">
        <f>20*4</f>
        <v>80</v>
      </c>
      <c r="F28" s="7">
        <v>5.0</v>
      </c>
    </row>
    <row r="29">
      <c r="A29" s="3" t="s">
        <v>53</v>
      </c>
      <c r="B29" s="3" t="s">
        <v>45</v>
      </c>
      <c r="C29" s="8">
        <v>5.0</v>
      </c>
      <c r="D29" s="5" t="s">
        <v>54</v>
      </c>
      <c r="E29" s="3">
        <v>100.0</v>
      </c>
      <c r="F29" s="7">
        <v>5.0</v>
      </c>
    </row>
    <row r="30">
      <c r="A30" s="3" t="s">
        <v>55</v>
      </c>
      <c r="B30" s="3" t="s">
        <v>45</v>
      </c>
      <c r="C30" s="5">
        <v>6.0</v>
      </c>
      <c r="D30" s="5" t="s">
        <v>56</v>
      </c>
      <c r="E30" s="3">
        <f>20*C30</f>
        <v>120</v>
      </c>
      <c r="F30" s="7">
        <v>5.0</v>
      </c>
    </row>
    <row r="31">
      <c r="A31" s="3" t="s">
        <v>57</v>
      </c>
      <c r="B31" s="3" t="s">
        <v>45</v>
      </c>
      <c r="C31" s="5">
        <v>6.0</v>
      </c>
      <c r="D31" s="5" t="s">
        <v>56</v>
      </c>
      <c r="E31" s="3">
        <f>20*6</f>
        <v>120</v>
      </c>
      <c r="F31" s="7">
        <v>5.0</v>
      </c>
    </row>
    <row r="32">
      <c r="A32" s="3" t="s">
        <v>58</v>
      </c>
      <c r="B32" s="3" t="s">
        <v>59</v>
      </c>
      <c r="C32" s="8">
        <v>1.0</v>
      </c>
      <c r="D32" s="5" t="s">
        <v>8</v>
      </c>
      <c r="E32" s="3">
        <v>15.31</v>
      </c>
      <c r="F32" s="7">
        <v>5.0</v>
      </c>
    </row>
    <row r="33">
      <c r="A33" s="3" t="s">
        <v>60</v>
      </c>
      <c r="B33" s="3" t="s">
        <v>59</v>
      </c>
      <c r="C33" s="8">
        <v>3.0</v>
      </c>
      <c r="D33" s="5" t="s">
        <v>10</v>
      </c>
      <c r="E33" s="3">
        <v>45.93</v>
      </c>
      <c r="F33" s="7">
        <v>5.0</v>
      </c>
    </row>
    <row r="34">
      <c r="A34" s="3" t="s">
        <v>61</v>
      </c>
      <c r="B34" s="3" t="s">
        <v>59</v>
      </c>
      <c r="C34" s="5">
        <v>5.0</v>
      </c>
      <c r="D34" s="5" t="s">
        <v>12</v>
      </c>
      <c r="E34" s="3">
        <f>E32*5</f>
        <v>76.55</v>
      </c>
      <c r="F34" s="7">
        <v>5.0</v>
      </c>
    </row>
    <row r="35">
      <c r="A35" s="3" t="s">
        <v>62</v>
      </c>
      <c r="B35" s="3" t="s">
        <v>63</v>
      </c>
      <c r="C35" s="8">
        <v>1.0</v>
      </c>
      <c r="D35" s="5" t="s">
        <v>46</v>
      </c>
      <c r="E35" s="3">
        <v>23.02</v>
      </c>
      <c r="F35" s="7">
        <v>5.0</v>
      </c>
    </row>
    <row r="36">
      <c r="A36" s="3" t="s">
        <v>64</v>
      </c>
      <c r="B36" s="3" t="s">
        <v>63</v>
      </c>
      <c r="C36" s="8">
        <v>2.0</v>
      </c>
      <c r="D36" s="5" t="s">
        <v>48</v>
      </c>
      <c r="E36" s="3">
        <v>46.04</v>
      </c>
      <c r="F36" s="7">
        <v>5.0</v>
      </c>
    </row>
    <row r="37">
      <c r="A37" s="3" t="s">
        <v>65</v>
      </c>
      <c r="B37" s="3" t="s">
        <v>63</v>
      </c>
      <c r="C37" s="8">
        <v>3.0</v>
      </c>
      <c r="D37" s="5" t="s">
        <v>50</v>
      </c>
      <c r="E37" s="3">
        <v>69.06</v>
      </c>
      <c r="F37" s="7">
        <v>5.0</v>
      </c>
    </row>
    <row r="38">
      <c r="A38" s="3" t="s">
        <v>66</v>
      </c>
      <c r="B38" s="3" t="s">
        <v>63</v>
      </c>
      <c r="C38" s="5">
        <v>4.0</v>
      </c>
      <c r="D38" s="5" t="s">
        <v>52</v>
      </c>
      <c r="E38" s="3">
        <f>23.02*C38</f>
        <v>92.08</v>
      </c>
      <c r="F38" s="7">
        <v>5.0</v>
      </c>
    </row>
    <row r="39">
      <c r="A39" s="3" t="s">
        <v>67</v>
      </c>
      <c r="B39" s="3" t="s">
        <v>63</v>
      </c>
      <c r="C39" s="8">
        <v>5.0</v>
      </c>
      <c r="D39" s="5" t="s">
        <v>54</v>
      </c>
      <c r="E39" s="3">
        <v>115.1</v>
      </c>
      <c r="F39" s="7">
        <v>5.0</v>
      </c>
    </row>
    <row r="40">
      <c r="A40" s="3" t="s">
        <v>68</v>
      </c>
      <c r="B40" s="3" t="s">
        <v>69</v>
      </c>
      <c r="C40" s="8">
        <v>1.0</v>
      </c>
      <c r="D40" s="5" t="s">
        <v>70</v>
      </c>
      <c r="E40" s="3">
        <v>3.6</v>
      </c>
      <c r="F40" s="7">
        <v>5.0</v>
      </c>
    </row>
    <row r="41">
      <c r="A41" s="3" t="s">
        <v>71</v>
      </c>
      <c r="B41" s="3" t="s">
        <v>69</v>
      </c>
      <c r="C41" s="8">
        <v>3.0</v>
      </c>
      <c r="D41" s="5" t="s">
        <v>72</v>
      </c>
      <c r="E41" s="3">
        <v>10.8</v>
      </c>
      <c r="F41" s="7">
        <v>5.0</v>
      </c>
    </row>
    <row r="42">
      <c r="A42" s="3" t="s">
        <v>73</v>
      </c>
      <c r="B42" s="3" t="s">
        <v>69</v>
      </c>
      <c r="C42" s="8">
        <v>5.0</v>
      </c>
      <c r="D42" s="5" t="s">
        <v>74</v>
      </c>
      <c r="E42" s="3">
        <v>18.0</v>
      </c>
      <c r="F42" s="7">
        <v>5.0</v>
      </c>
    </row>
    <row r="43">
      <c r="A43" s="3" t="s">
        <v>75</v>
      </c>
      <c r="B43" s="3" t="s">
        <v>69</v>
      </c>
      <c r="C43" s="5">
        <v>6.0</v>
      </c>
      <c r="D43" s="5" t="s">
        <v>76</v>
      </c>
      <c r="E43" s="3">
        <f>3.6*6</f>
        <v>21.6</v>
      </c>
      <c r="F43" s="7">
        <v>5.0</v>
      </c>
    </row>
    <row r="44">
      <c r="A44" s="3" t="s">
        <v>77</v>
      </c>
      <c r="B44" s="3" t="s">
        <v>69</v>
      </c>
      <c r="C44" s="5">
        <v>10.0</v>
      </c>
      <c r="D44" s="5" t="s">
        <v>78</v>
      </c>
      <c r="E44" s="3">
        <f>3.6*C44</f>
        <v>36</v>
      </c>
      <c r="F44" s="7">
        <v>5.0</v>
      </c>
    </row>
    <row r="45">
      <c r="A45" s="3" t="s">
        <v>79</v>
      </c>
      <c r="B45" s="3" t="s">
        <v>69</v>
      </c>
      <c r="C45" s="5">
        <v>17.0</v>
      </c>
      <c r="D45" s="5" t="s">
        <v>80</v>
      </c>
      <c r="E45" s="3">
        <f>3.6*17</f>
        <v>61.2</v>
      </c>
      <c r="F45" s="7">
        <v>5.0</v>
      </c>
    </row>
    <row r="46">
      <c r="A46" s="3" t="s">
        <v>81</v>
      </c>
      <c r="B46" s="3" t="s">
        <v>69</v>
      </c>
      <c r="C46" s="5">
        <v>11.0</v>
      </c>
      <c r="D46" s="5" t="s">
        <v>82</v>
      </c>
      <c r="E46" s="3">
        <f>3.6*11</f>
        <v>39.6</v>
      </c>
      <c r="F46" s="7">
        <v>5.0</v>
      </c>
    </row>
    <row r="47">
      <c r="A47" s="3" t="s">
        <v>83</v>
      </c>
      <c r="B47" s="3" t="s">
        <v>84</v>
      </c>
      <c r="C47" s="8">
        <v>1.0</v>
      </c>
      <c r="D47" s="5" t="s">
        <v>85</v>
      </c>
      <c r="E47" s="3">
        <v>21.7</v>
      </c>
      <c r="F47" s="7">
        <v>5.0</v>
      </c>
    </row>
    <row r="48">
      <c r="A48" s="3" t="s">
        <v>86</v>
      </c>
      <c r="B48" s="3" t="s">
        <v>84</v>
      </c>
      <c r="C48" s="8">
        <v>2.0</v>
      </c>
      <c r="D48" s="5" t="s">
        <v>87</v>
      </c>
      <c r="E48" s="3">
        <v>43.4</v>
      </c>
      <c r="F48" s="7">
        <v>5.0</v>
      </c>
    </row>
    <row r="49">
      <c r="A49" s="3" t="s">
        <v>88</v>
      </c>
      <c r="B49" s="3" t="s">
        <v>84</v>
      </c>
      <c r="C49" s="8">
        <v>3.0</v>
      </c>
      <c r="D49" s="5" t="s">
        <v>89</v>
      </c>
      <c r="E49" s="3">
        <v>65.1</v>
      </c>
      <c r="F49" s="7">
        <v>5.0</v>
      </c>
    </row>
    <row r="50">
      <c r="A50" s="3" t="s">
        <v>90</v>
      </c>
      <c r="B50" s="3" t="s">
        <v>84</v>
      </c>
      <c r="C50" s="5">
        <v>4.0</v>
      </c>
      <c r="D50" s="5" t="s">
        <v>91</v>
      </c>
      <c r="E50" s="3">
        <f>21.7*4</f>
        <v>86.8</v>
      </c>
      <c r="F50" s="7">
        <v>5.0</v>
      </c>
    </row>
    <row r="51">
      <c r="A51" s="3" t="s">
        <v>92</v>
      </c>
      <c r="B51" s="3" t="s">
        <v>93</v>
      </c>
      <c r="C51" s="8">
        <v>1.0</v>
      </c>
      <c r="D51" s="5" t="s">
        <v>94</v>
      </c>
      <c r="E51" s="3">
        <v>47.5</v>
      </c>
      <c r="F51" s="7">
        <v>5.0</v>
      </c>
    </row>
    <row r="52">
      <c r="A52" s="3" t="s">
        <v>95</v>
      </c>
      <c r="B52" s="3" t="s">
        <v>93</v>
      </c>
      <c r="C52" s="5">
        <v>2.0</v>
      </c>
      <c r="D52" s="5" t="s">
        <v>96</v>
      </c>
      <c r="E52" s="3">
        <f>47.5*C52</f>
        <v>95</v>
      </c>
      <c r="F52" s="7">
        <v>10.0</v>
      </c>
    </row>
    <row r="53">
      <c r="A53" s="3" t="s">
        <v>97</v>
      </c>
      <c r="B53" s="3" t="s">
        <v>93</v>
      </c>
      <c r="C53" s="5">
        <v>3.0</v>
      </c>
      <c r="D53" s="5" t="s">
        <v>98</v>
      </c>
      <c r="E53" s="3">
        <f>E51*3</f>
        <v>142.5</v>
      </c>
      <c r="F53" s="7">
        <v>10.0</v>
      </c>
    </row>
    <row r="54">
      <c r="A54" s="3" t="s">
        <v>99</v>
      </c>
      <c r="B54" s="3" t="s">
        <v>100</v>
      </c>
      <c r="C54" s="7">
        <v>1.0</v>
      </c>
      <c r="D54" s="7" t="s">
        <v>70</v>
      </c>
      <c r="E54" s="3">
        <v>16.0</v>
      </c>
      <c r="F54" s="7">
        <v>5.0</v>
      </c>
    </row>
    <row r="55">
      <c r="A55" s="3" t="s">
        <v>101</v>
      </c>
      <c r="B55" s="3" t="s">
        <v>100</v>
      </c>
      <c r="C55" s="7">
        <v>3.0</v>
      </c>
      <c r="D55" s="7" t="s">
        <v>72</v>
      </c>
      <c r="E55" s="3">
        <f>E54*3</f>
        <v>48</v>
      </c>
      <c r="F55" s="7">
        <v>5.0</v>
      </c>
    </row>
    <row r="56">
      <c r="A56" s="3" t="s">
        <v>102</v>
      </c>
      <c r="B56" s="3" t="s">
        <v>103</v>
      </c>
      <c r="C56" s="7">
        <v>2.0</v>
      </c>
      <c r="D56" s="7" t="s">
        <v>104</v>
      </c>
      <c r="E56" s="3">
        <f>7*2</f>
        <v>14</v>
      </c>
      <c r="F56" s="7">
        <v>5.0</v>
      </c>
    </row>
    <row r="57">
      <c r="A57" s="3" t="s">
        <v>105</v>
      </c>
      <c r="B57" s="3" t="s">
        <v>103</v>
      </c>
      <c r="C57" s="7">
        <v>3.0</v>
      </c>
      <c r="D57" s="7" t="s">
        <v>10</v>
      </c>
      <c r="E57" s="3">
        <f>7*C57</f>
        <v>21</v>
      </c>
      <c r="F57" s="7">
        <v>5.0</v>
      </c>
    </row>
    <row r="58">
      <c r="A58" s="3" t="s">
        <v>106</v>
      </c>
      <c r="B58" s="3" t="s">
        <v>103</v>
      </c>
      <c r="C58" s="7">
        <v>8.0</v>
      </c>
      <c r="D58" s="7" t="s">
        <v>107</v>
      </c>
      <c r="E58" s="9">
        <f>7*8</f>
        <v>56</v>
      </c>
      <c r="F58" s="7">
        <v>5.0</v>
      </c>
    </row>
    <row r="59">
      <c r="A59" s="3" t="s">
        <v>108</v>
      </c>
      <c r="B59" s="3" t="s">
        <v>103</v>
      </c>
      <c r="C59" s="7">
        <v>1.0</v>
      </c>
      <c r="D59" s="7" t="s">
        <v>8</v>
      </c>
      <c r="E59" s="3">
        <v>7.0</v>
      </c>
      <c r="F59" s="7">
        <v>5.0</v>
      </c>
    </row>
    <row r="60">
      <c r="A60" s="3" t="s">
        <v>109</v>
      </c>
      <c r="B60" s="3" t="s">
        <v>110</v>
      </c>
      <c r="C60" s="7">
        <v>1.0</v>
      </c>
      <c r="D60" s="7" t="s">
        <v>8</v>
      </c>
      <c r="E60" s="9">
        <f t="shared" ref="E60:E68" si="1">15*C60</f>
        <v>15</v>
      </c>
      <c r="F60" s="7">
        <v>5.0</v>
      </c>
    </row>
    <row r="61">
      <c r="A61" s="3" t="s">
        <v>111</v>
      </c>
      <c r="B61" s="3" t="s">
        <v>110</v>
      </c>
      <c r="C61" s="7">
        <v>2.0</v>
      </c>
      <c r="D61" s="7" t="s">
        <v>104</v>
      </c>
      <c r="E61" s="9">
        <f t="shared" si="1"/>
        <v>30</v>
      </c>
      <c r="F61" s="7">
        <v>5.0</v>
      </c>
    </row>
    <row r="62">
      <c r="A62" s="3" t="s">
        <v>112</v>
      </c>
      <c r="B62" s="3" t="s">
        <v>110</v>
      </c>
      <c r="C62" s="7">
        <v>3.0</v>
      </c>
      <c r="D62" s="7" t="s">
        <v>10</v>
      </c>
      <c r="E62" s="9">
        <f t="shared" si="1"/>
        <v>45</v>
      </c>
      <c r="F62" s="7">
        <v>5.0</v>
      </c>
    </row>
    <row r="63">
      <c r="A63" s="10" t="s">
        <v>113</v>
      </c>
      <c r="B63" s="3" t="s">
        <v>110</v>
      </c>
      <c r="C63" s="7">
        <v>5.0</v>
      </c>
      <c r="D63" s="7" t="s">
        <v>12</v>
      </c>
      <c r="E63" s="9">
        <f t="shared" si="1"/>
        <v>75</v>
      </c>
      <c r="F63" s="7">
        <v>5.0</v>
      </c>
    </row>
    <row r="64">
      <c r="A64" s="10" t="s">
        <v>114</v>
      </c>
      <c r="B64" s="3" t="s">
        <v>115</v>
      </c>
      <c r="C64" s="7">
        <v>1.0</v>
      </c>
      <c r="D64" s="7" t="s">
        <v>8</v>
      </c>
      <c r="E64" s="9">
        <f t="shared" si="1"/>
        <v>15</v>
      </c>
      <c r="F64" s="7">
        <v>5.0</v>
      </c>
    </row>
    <row r="65">
      <c r="A65" s="10" t="s">
        <v>116</v>
      </c>
      <c r="B65" s="3" t="s">
        <v>115</v>
      </c>
      <c r="C65" s="7">
        <v>3.0</v>
      </c>
      <c r="D65" s="7" t="s">
        <v>10</v>
      </c>
      <c r="E65" s="9">
        <f t="shared" si="1"/>
        <v>45</v>
      </c>
      <c r="F65" s="7">
        <v>5.0</v>
      </c>
    </row>
    <row r="66">
      <c r="A66" s="10" t="s">
        <v>117</v>
      </c>
      <c r="B66" s="3" t="s">
        <v>118</v>
      </c>
      <c r="C66" s="7">
        <v>1.0</v>
      </c>
      <c r="D66" s="7" t="s">
        <v>8</v>
      </c>
      <c r="E66" s="9">
        <f t="shared" si="1"/>
        <v>15</v>
      </c>
      <c r="F66" s="7">
        <v>5.0</v>
      </c>
    </row>
    <row r="67">
      <c r="A67" s="10" t="s">
        <v>119</v>
      </c>
      <c r="B67" s="3" t="s">
        <v>118</v>
      </c>
      <c r="C67" s="7">
        <v>2.0</v>
      </c>
      <c r="D67" s="7" t="s">
        <v>104</v>
      </c>
      <c r="E67" s="9">
        <f t="shared" si="1"/>
        <v>30</v>
      </c>
      <c r="F67" s="7">
        <v>5.0</v>
      </c>
    </row>
    <row r="68">
      <c r="A68" s="10" t="s">
        <v>120</v>
      </c>
      <c r="B68" s="3" t="s">
        <v>118</v>
      </c>
      <c r="C68" s="7">
        <v>3.0</v>
      </c>
      <c r="D68" s="7" t="s">
        <v>10</v>
      </c>
      <c r="E68" s="9">
        <f t="shared" si="1"/>
        <v>45</v>
      </c>
      <c r="F68" s="7">
        <v>5.0</v>
      </c>
    </row>
    <row r="69">
      <c r="A69" s="3" t="s">
        <v>121</v>
      </c>
      <c r="B69" s="3" t="s">
        <v>122</v>
      </c>
      <c r="C69" s="7">
        <v>1.0</v>
      </c>
      <c r="D69" s="7" t="s">
        <v>123</v>
      </c>
      <c r="E69" s="3">
        <v>4.8</v>
      </c>
      <c r="F69" s="7">
        <v>0.0</v>
      </c>
    </row>
    <row r="70">
      <c r="A70" s="3" t="s">
        <v>124</v>
      </c>
      <c r="B70" s="3" t="s">
        <v>125</v>
      </c>
      <c r="C70" s="7">
        <v>1.0</v>
      </c>
      <c r="D70" s="7" t="s">
        <v>126</v>
      </c>
      <c r="E70" s="3">
        <v>4.25</v>
      </c>
      <c r="F70" s="7">
        <v>0.0</v>
      </c>
    </row>
    <row r="71">
      <c r="A71" s="3" t="s">
        <v>127</v>
      </c>
      <c r="B71" s="3" t="s">
        <v>128</v>
      </c>
      <c r="C71" s="7">
        <v>1.0</v>
      </c>
      <c r="D71" s="7" t="s">
        <v>129</v>
      </c>
      <c r="E71" s="3">
        <v>25.0</v>
      </c>
      <c r="F71" s="7">
        <v>0.0</v>
      </c>
    </row>
    <row r="72">
      <c r="C72" s="11"/>
      <c r="D72" s="11"/>
      <c r="F72" s="11"/>
    </row>
    <row r="73">
      <c r="C73" s="11"/>
      <c r="D73" s="11"/>
      <c r="F73" s="11"/>
    </row>
    <row r="74">
      <c r="C74" s="11"/>
      <c r="D74" s="11"/>
      <c r="F74" s="11"/>
    </row>
    <row r="75">
      <c r="C75" s="11"/>
      <c r="D75" s="11"/>
      <c r="F75" s="11"/>
    </row>
    <row r="76">
      <c r="C76" s="11"/>
      <c r="D76" s="11"/>
      <c r="F76" s="11"/>
    </row>
    <row r="77">
      <c r="C77" s="11"/>
      <c r="D77" s="11"/>
      <c r="F77" s="11"/>
    </row>
    <row r="78">
      <c r="C78" s="11"/>
      <c r="D78" s="11"/>
      <c r="F78" s="11"/>
    </row>
    <row r="79">
      <c r="C79" s="11"/>
      <c r="D79" s="11"/>
      <c r="F79" s="11"/>
    </row>
    <row r="80">
      <c r="C80" s="11"/>
      <c r="D80" s="11"/>
      <c r="F80" s="11"/>
    </row>
    <row r="81">
      <c r="C81" s="11"/>
      <c r="D81" s="11"/>
      <c r="F81" s="11"/>
    </row>
    <row r="82">
      <c r="C82" s="11"/>
      <c r="D82" s="11"/>
      <c r="F82" s="11"/>
    </row>
    <row r="83">
      <c r="C83" s="11"/>
      <c r="D83" s="11"/>
      <c r="F83" s="11"/>
    </row>
    <row r="84">
      <c r="C84" s="11"/>
      <c r="D84" s="11"/>
      <c r="F84" s="11"/>
    </row>
    <row r="85">
      <c r="C85" s="11"/>
      <c r="D85" s="11"/>
      <c r="F85" s="11"/>
    </row>
    <row r="86">
      <c r="C86" s="11"/>
      <c r="D86" s="11"/>
      <c r="F86" s="11"/>
    </row>
    <row r="87">
      <c r="C87" s="11"/>
      <c r="D87" s="11"/>
      <c r="F87" s="11"/>
    </row>
    <row r="88">
      <c r="C88" s="11"/>
      <c r="D88" s="11"/>
      <c r="F88" s="11"/>
    </row>
    <row r="89">
      <c r="C89" s="11"/>
      <c r="D89" s="11"/>
      <c r="F89" s="11"/>
    </row>
    <row r="90">
      <c r="C90" s="11"/>
      <c r="D90" s="11"/>
      <c r="F90" s="11"/>
    </row>
    <row r="91">
      <c r="C91" s="11"/>
      <c r="D91" s="11"/>
      <c r="F91" s="11"/>
    </row>
    <row r="92">
      <c r="C92" s="11"/>
      <c r="D92" s="11"/>
      <c r="F92" s="11"/>
    </row>
    <row r="93">
      <c r="C93" s="11"/>
      <c r="D93" s="11"/>
      <c r="F93" s="11"/>
    </row>
    <row r="94">
      <c r="C94" s="11"/>
      <c r="D94" s="11"/>
      <c r="F94" s="11"/>
    </row>
    <row r="95">
      <c r="C95" s="11"/>
      <c r="D95" s="11"/>
      <c r="F95" s="11"/>
    </row>
    <row r="96">
      <c r="C96" s="11"/>
      <c r="D96" s="11"/>
      <c r="F96" s="11"/>
    </row>
    <row r="97">
      <c r="C97" s="11"/>
      <c r="D97" s="11"/>
      <c r="F97" s="11"/>
    </row>
    <row r="98">
      <c r="C98" s="11"/>
      <c r="D98" s="11"/>
      <c r="F98" s="11"/>
    </row>
    <row r="99">
      <c r="C99" s="11"/>
      <c r="D99" s="11"/>
      <c r="F99" s="11"/>
    </row>
    <row r="100">
      <c r="C100" s="11"/>
      <c r="D100" s="11"/>
      <c r="F100" s="11"/>
    </row>
    <row r="101">
      <c r="C101" s="11"/>
      <c r="D101" s="11"/>
      <c r="F101" s="11"/>
    </row>
    <row r="102">
      <c r="C102" s="11"/>
      <c r="D102" s="11"/>
      <c r="F102" s="11"/>
    </row>
    <row r="103">
      <c r="C103" s="11"/>
      <c r="D103" s="11"/>
      <c r="F103" s="11"/>
    </row>
    <row r="104">
      <c r="C104" s="11"/>
      <c r="D104" s="11"/>
      <c r="F104" s="11"/>
    </row>
    <row r="105">
      <c r="C105" s="11"/>
      <c r="D105" s="11"/>
      <c r="F105" s="11"/>
    </row>
    <row r="106">
      <c r="C106" s="11"/>
      <c r="D106" s="11"/>
      <c r="F106" s="11"/>
    </row>
    <row r="107">
      <c r="C107" s="11"/>
      <c r="D107" s="11"/>
      <c r="F107" s="11"/>
    </row>
    <row r="108">
      <c r="C108" s="11"/>
      <c r="D108" s="11"/>
      <c r="F108" s="11"/>
    </row>
    <row r="109">
      <c r="C109" s="11"/>
      <c r="D109" s="11"/>
      <c r="F109" s="11"/>
    </row>
    <row r="110">
      <c r="C110" s="11"/>
      <c r="D110" s="11"/>
      <c r="F110" s="11"/>
    </row>
    <row r="111">
      <c r="C111" s="11"/>
      <c r="D111" s="11"/>
      <c r="F111" s="11"/>
    </row>
    <row r="112">
      <c r="C112" s="11"/>
      <c r="D112" s="11"/>
      <c r="F112" s="11"/>
    </row>
    <row r="113">
      <c r="C113" s="11"/>
      <c r="D113" s="11"/>
      <c r="F113" s="11"/>
    </row>
    <row r="114">
      <c r="C114" s="11"/>
      <c r="D114" s="11"/>
      <c r="F114" s="11"/>
    </row>
    <row r="115">
      <c r="C115" s="11"/>
      <c r="D115" s="11"/>
      <c r="F115" s="11"/>
    </row>
    <row r="116">
      <c r="C116" s="11"/>
      <c r="D116" s="11"/>
      <c r="F116" s="11"/>
    </row>
    <row r="117">
      <c r="C117" s="11"/>
      <c r="D117" s="11"/>
      <c r="F117" s="11"/>
    </row>
    <row r="118">
      <c r="C118" s="11"/>
      <c r="D118" s="11"/>
      <c r="F118" s="11"/>
    </row>
    <row r="119">
      <c r="C119" s="11"/>
      <c r="D119" s="11"/>
      <c r="F119" s="11"/>
    </row>
    <row r="120">
      <c r="C120" s="11"/>
      <c r="D120" s="11"/>
      <c r="F120" s="11"/>
    </row>
    <row r="121">
      <c r="C121" s="11"/>
      <c r="D121" s="11"/>
      <c r="F121" s="11"/>
    </row>
    <row r="122">
      <c r="C122" s="11"/>
      <c r="D122" s="11"/>
      <c r="F122" s="11"/>
    </row>
    <row r="123">
      <c r="C123" s="11"/>
      <c r="D123" s="11"/>
      <c r="F123" s="11"/>
    </row>
    <row r="124">
      <c r="C124" s="11"/>
      <c r="D124" s="11"/>
      <c r="F124" s="11"/>
    </row>
    <row r="125">
      <c r="C125" s="11"/>
      <c r="D125" s="11"/>
      <c r="F125" s="11"/>
    </row>
    <row r="126">
      <c r="C126" s="11"/>
      <c r="D126" s="11"/>
      <c r="F126" s="11"/>
    </row>
    <row r="127">
      <c r="C127" s="11"/>
      <c r="D127" s="11"/>
      <c r="F127" s="11"/>
    </row>
    <row r="128">
      <c r="C128" s="11"/>
      <c r="D128" s="11"/>
      <c r="F128" s="11"/>
    </row>
    <row r="129">
      <c r="C129" s="11"/>
      <c r="D129" s="11"/>
      <c r="F129" s="11"/>
    </row>
  </sheetData>
  <autoFilter ref="$A$1:$F$71"/>
  <drawing r:id="rId1"/>
</worksheet>
</file>